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terprise_sales" sheetId="1" state="visible" r:id="rId3"/>
    <sheet name="Pivot Table_enterprise_sales_1" sheetId="2" state="visible" r:id="rId4"/>
  </sheets>
  <definedNames>
    <definedName function="false" hidden="true" localSheetId="0" name="_xlnm._FilterDatabase" vbProcedure="false">enterprise_sales!$A$1:$L$16</definedName>
  </definedName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<sst xmlns="http://schemas.openxmlformats.org/spreadsheetml/2006/main" count="122" uniqueCount="49">
  <si>
    <t xml:space="preserve">OrderID</t>
  </si>
  <si>
    <t xml:space="preserve">OrderDate</t>
  </si>
  <si>
    <t xml:space="preserve">CustomerType</t>
  </si>
  <si>
    <t xml:space="preserve">ProductCategory</t>
  </si>
  <si>
    <t xml:space="preserve">SalesChannel</t>
  </si>
  <si>
    <t xml:space="preserve">Quantity</t>
  </si>
  <si>
    <t xml:space="preserve">Revenue</t>
  </si>
  <si>
    <t xml:space="preserve">ProductCost</t>
  </si>
  <si>
    <t xml:space="preserve">Region</t>
  </si>
  <si>
    <t xml:space="preserve">CustomerSatisfaction</t>
  </si>
  <si>
    <t xml:space="preserve">Gross_Profit</t>
  </si>
  <si>
    <t xml:space="preserve">Profit margin%</t>
  </si>
  <si>
    <t xml:space="preserve">TXN-2026-001</t>
  </si>
  <si>
    <t xml:space="preserve">VIP</t>
  </si>
  <si>
    <t xml:space="preserve">Electronics</t>
  </si>
  <si>
    <t xml:space="preserve">Online</t>
  </si>
  <si>
    <t xml:space="preserve">North</t>
  </si>
  <si>
    <t xml:space="preserve">High</t>
  </si>
  <si>
    <t xml:space="preserve">TXN-2026-002</t>
  </si>
  <si>
    <t xml:space="preserve">Regular</t>
  </si>
  <si>
    <t xml:space="preserve">Fashion</t>
  </si>
  <si>
    <t xml:space="preserve">In-Store</t>
  </si>
  <si>
    <t xml:space="preserve">West</t>
  </si>
  <si>
    <t xml:space="preserve">Medium</t>
  </si>
  <si>
    <t xml:space="preserve">TXN-2026-003</t>
  </si>
  <si>
    <t xml:space="preserve">TXN-2026-004</t>
  </si>
  <si>
    <t xml:space="preserve">Corporate</t>
  </si>
  <si>
    <t xml:space="preserve">Home Decor</t>
  </si>
  <si>
    <t xml:space="preserve">Distributor</t>
  </si>
  <si>
    <t xml:space="preserve">South</t>
  </si>
  <si>
    <t xml:space="preserve">Low</t>
  </si>
  <si>
    <t xml:space="preserve">TXN-2026-005</t>
  </si>
  <si>
    <t xml:space="preserve">TXN-2026-006</t>
  </si>
  <si>
    <t xml:space="preserve">East</t>
  </si>
  <si>
    <t xml:space="preserve">TXN-2026-007</t>
  </si>
  <si>
    <t xml:space="preserve">TXN-2026-008</t>
  </si>
  <si>
    <t xml:space="preserve">TXN-2026-009</t>
  </si>
  <si>
    <t xml:space="preserve">TXN-2026-010</t>
  </si>
  <si>
    <t xml:space="preserve">TXN-2026-011</t>
  </si>
  <si>
    <t xml:space="preserve">TXN-2026-012</t>
  </si>
  <si>
    <t xml:space="preserve">TXN-2026-013</t>
  </si>
  <si>
    <t xml:space="preserve">TXN-2026-014</t>
  </si>
  <si>
    <t xml:space="preserve">TXN-2026-015</t>
  </si>
  <si>
    <t xml:space="preserve">Data</t>
  </si>
  <si>
    <t xml:space="preserve">Total Average - Profit margin%</t>
  </si>
  <si>
    <t xml:space="preserve">Total Sum - Revenue</t>
  </si>
  <si>
    <t xml:space="preserve">Average - Profit margin%</t>
  </si>
  <si>
    <t xml:space="preserve">Sum - Revenue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</si>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</sst>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12232014500906"/>
          <c:y val="0.10351150127792"/>
          <c:w val="0.462341396337271"/>
          <c:h val="0.821980220024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East - Average - Profit margin%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0</c:f>
              <c:numCache>
                <c:formatCode>0.00%</c:formatCode>
                <c:ptCount val="2"/>
                <c:pt idx="0">
                  <c:v>0.306666666666667</c:v>
                </c:pt>
                <c:pt idx="1">
                  <c:v>0.316666666666667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East - Sum - Revenue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375000</c:v>
                </c:pt>
                <c:pt idx="1">
                  <c:v>233000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North - Average - Profit margin%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2</c:f>
              <c:numCache>
                <c:formatCode>0.00%</c:formatCode>
                <c:ptCount val="2"/>
                <c:pt idx="1">
                  <c:v>0.321458333333333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North - Sum - Revenue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2"/>
                <c:pt idx="1">
                  <c:v>200000</c:v>
                </c:pt>
              </c:numCache>
            </c:numRef>
          </c:val>
        </c:ser>
        <c:ser>
          <c:idx val="4"/>
          <c:order val="4"/>
          <c:tx>
            <c:strRef>
              <c:f>pt@label 4</c:f>
              <c:strCache>
                <c:ptCount val="1"/>
                <c:pt idx="0">
                  <c:v>South - Average - Profit margin%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4</c:f>
              <c:numCache>
                <c:formatCode>0.00%</c:formatCode>
                <c:ptCount val="2"/>
                <c:pt idx="0">
                  <c:v>0.322222222222222</c:v>
                </c:pt>
              </c:numCache>
            </c:numRef>
          </c:val>
        </c:ser>
        <c:ser>
          <c:idx val="5"/>
          <c:order val="5"/>
          <c:tx>
            <c:strRef>
              <c:f>pt@label 5</c:f>
              <c:strCache>
                <c:ptCount val="1"/>
                <c:pt idx="0">
                  <c:v>South - Sum - Revenue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5</c:f>
              <c:numCache>
                <c:formatCode>General</c:formatCode>
                <c:ptCount val="2"/>
                <c:pt idx="0">
                  <c:v>405000</c:v>
                </c:pt>
              </c:numCache>
            </c:numRef>
          </c:val>
        </c:ser>
        <c:ser>
          <c:idx val="6"/>
          <c:order val="6"/>
          <c:tx>
            <c:strRef>
              <c:f>pt@label 6</c:f>
              <c:strCache>
                <c:ptCount val="1"/>
                <c:pt idx="0">
                  <c:v>West - Average - Profit margin%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6</c:f>
              <c:numCache>
                <c:formatCode>0.00%</c:formatCode>
                <c:ptCount val="2"/>
                <c:pt idx="0">
                  <c:v>0.25</c:v>
                </c:pt>
              </c:numCache>
            </c:numRef>
          </c:val>
        </c:ser>
        <c:ser>
          <c:idx val="7"/>
          <c:order val="7"/>
          <c:tx>
            <c:strRef>
              <c:f>pt@label 7</c:f>
              <c:strCache>
                <c:ptCount val="1"/>
                <c:pt idx="0">
                  <c:v>West - Sum - Revenue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Distributor</c:v>
                </c:pt>
                <c:pt idx="1">
                  <c:v>Online</c:v>
                </c:pt>
              </c:strCache>
            </c:strRef>
          </c:cat>
          <c:val>
            <c:numRef>
              <c:f>pt@data 7</c:f>
              <c:numCache>
                <c:formatCode>General</c:formatCode>
                <c:ptCount val="2"/>
                <c:pt idx="0">
                  <c:v>60000</c:v>
                </c:pt>
              </c:numCache>
            </c:numRef>
          </c:val>
        </c:ser>
        <c:gapWidth val="100"/>
        <c:overlap val="0"/>
        <c:axId val="78205330"/>
        <c:axId val="23399454"/>
      </c:barChart>
      <c:catAx>
        <c:axId val="782053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399454"/>
        <c:crosses val="autoZero"/>
        <c:auto val="1"/>
        <c:lblAlgn val="ctr"/>
        <c:lblOffset val="100"/>
        <c:noMultiLvlLbl val="0"/>
      </c:catAx>
      <c:valAx>
        <c:axId val="23399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2053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00411218407799"/>
          <c:y val="0.0537683301125384"/>
          <c:w val="0.264288684563138"/>
          <c:h val="0.88427873138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71640</xdr:rowOff>
    </xdr:from>
    <xdr:to>
      <xdr:col>4</xdr:col>
      <xdr:colOff>939960</xdr:colOff>
      <xdr:row>23</xdr:row>
      <xdr:rowOff>26280</xdr:rowOff>
    </xdr:to>
    <xdr:graphicFrame>
      <xdr:nvGraphicFramePr>
        <xdr:cNvPr id="1" name=""/>
        <xdr:cNvGraphicFramePr/>
      </xdr:nvGraphicFramePr>
      <xdr:xfrm>
        <a:off x="0" y="1371960"/>
        <a:ext cx="5270760" cy="239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" createdVersion="3">
  <cacheSource type="worksheet">
    <worksheetSource ref="A1:L16" sheet="enterprise_sales"/>
  </cacheSource>
  <cacheFields count="12">
    <cacheField name="OrderID" numFmtId="0">
      <sharedItems count="15">
        <s v="TXN-2026-001"/>
        <s v="TXN-2026-002"/>
        <s v="TXN-2026-003"/>
        <s v="TXN-2026-004"/>
        <s v="TXN-2026-005"/>
        <s v="TXN-2026-006"/>
        <s v="TXN-2026-007"/>
        <s v="TXN-2026-008"/>
        <s v="TXN-2026-009"/>
        <s v="TXN-2026-010"/>
        <s v="TXN-2026-011"/>
        <s v="TXN-2026-012"/>
        <s v="TXN-2026-013"/>
        <s v="TXN-2026-014"/>
        <s v="TXN-2026-015"/>
      </sharedItems>
    </cacheField>
    <cacheField name="OrderDate" numFmtId="0">
      <sharedItems containsSemiMixedTypes="0" containsNonDate="0" containsDate="1" containsString="0" minDate="2026-10-01T00:00:00" maxDate="2026-10-13T00:00:00" count="13"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</sharedItems>
    </cacheField>
    <cacheField name="CustomerType" numFmtId="0">
      <sharedItems count="3">
        <s v="Corporate"/>
        <s v="Regular"/>
        <s v="VIP"/>
      </sharedItems>
    </cacheField>
    <cacheField name="ProductCategory" numFmtId="0">
      <sharedItems count="3">
        <s v="Electronics"/>
        <s v="Fashion"/>
        <s v="Home Decor"/>
      </sharedItems>
    </cacheField>
    <cacheField name="SalesChannel" numFmtId="0">
      <sharedItems count="3">
        <s v="Distributor"/>
        <s v="In-Store"/>
        <s v="Online"/>
      </sharedItems>
    </cacheField>
    <cacheField name="Quantity" numFmtId="0">
      <sharedItems containsSemiMixedTypes="0" containsString="0" containsNumber="1" containsInteger="1" minValue="1" maxValue="50" count="13">
        <n v="1"/>
        <n v="2"/>
        <n v="3"/>
        <n v="4"/>
        <n v="5"/>
        <n v="6"/>
        <n v="8"/>
        <n v="12"/>
        <n v="15"/>
        <n v="25"/>
        <n v="30"/>
        <n v="40"/>
        <n v="50"/>
      </sharedItems>
    </cacheField>
    <cacheField name="Revenue" numFmtId="0">
      <sharedItems containsSemiMixedTypes="0" containsString="0" containsNumber="1" containsInteger="1" minValue="9000" maxValue="375000" count="14">
        <n v="9000"/>
        <n v="16000"/>
        <n v="22000"/>
        <n v="24000"/>
        <n v="25000"/>
        <n v="33000"/>
        <n v="50000"/>
        <n v="60000"/>
        <n v="100000"/>
        <n v="125000"/>
        <n v="180000"/>
        <n v="200000"/>
        <n v="225000"/>
        <n v="375000"/>
      </sharedItems>
    </cacheField>
    <cacheField name="ProductCost" numFmtId="0">
      <sharedItems containsSemiMixedTypes="0" containsString="0" containsNumber="1" containsInteger="1" minValue="6000" maxValue="260000" count="14">
        <n v="6000"/>
        <n v="11000"/>
        <n v="15000"/>
        <n v="18000"/>
        <n v="22000"/>
        <n v="34000"/>
        <n v="38000"/>
        <n v="45000"/>
        <n v="70000"/>
        <n v="85000"/>
        <n v="120000"/>
        <n v="140000"/>
        <n v="155000"/>
        <n v="260000"/>
      </sharedItems>
    </cacheField>
    <cacheField name="Region" numFmtId="0">
      <sharedItems count="4">
        <s v="East"/>
        <s v="North"/>
        <s v="South"/>
        <s v="West"/>
      </sharedItems>
    </cacheField>
    <cacheField name="CustomerSatisfaction" numFmtId="0">
      <sharedItems count="3">
        <s v="High"/>
        <s v="Low"/>
        <s v="Medium"/>
      </sharedItems>
    </cacheField>
    <cacheField name="Gross_Profit" numFmtId="0">
      <sharedItems containsSemiMixedTypes="0" containsString="0" containsNumber="1" containsInteger="1" minValue="3000" maxValue="115000" count="13">
        <n v="3000"/>
        <n v="5000"/>
        <n v="6000"/>
        <n v="7000"/>
        <n v="11000"/>
        <n v="12000"/>
        <n v="15000"/>
        <n v="16000"/>
        <n v="30000"/>
        <n v="40000"/>
        <n v="60000"/>
        <n v="70000"/>
        <n v="115000"/>
      </sharedItems>
    </cacheField>
    <cacheField name="Profit margin%" numFmtId="0">
      <sharedItems containsSemiMixedTypes="0" containsString="0" containsNumber="1" minValue="0.24" maxValue="0.333333333333333" count="10">
        <n v="0.24"/>
        <n v="0.25"/>
        <n v="0.28"/>
        <n v="0.3"/>
        <n v="0.306666666666667"/>
        <n v="0.311111111111111"/>
        <n v="0.3125"/>
        <n v="0.318181818181818"/>
        <n v="0.32"/>
        <n v="0.3333333333333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2"/>
    <x v="0"/>
    <x v="2"/>
    <x v="4"/>
    <x v="9"/>
    <x v="9"/>
    <x v="1"/>
    <x v="0"/>
    <x v="9"/>
    <x v="8"/>
  </r>
  <r>
    <x v="1"/>
    <x v="0"/>
    <x v="1"/>
    <x v="1"/>
    <x v="1"/>
    <x v="7"/>
    <x v="3"/>
    <x v="3"/>
    <x v="3"/>
    <x v="2"/>
    <x v="2"/>
    <x v="1"/>
  </r>
  <r>
    <x v="2"/>
    <x v="1"/>
    <x v="2"/>
    <x v="0"/>
    <x v="2"/>
    <x v="1"/>
    <x v="6"/>
    <x v="5"/>
    <x v="1"/>
    <x v="0"/>
    <x v="7"/>
    <x v="8"/>
  </r>
  <r>
    <x v="3"/>
    <x v="1"/>
    <x v="0"/>
    <x v="2"/>
    <x v="0"/>
    <x v="11"/>
    <x v="10"/>
    <x v="10"/>
    <x v="2"/>
    <x v="1"/>
    <x v="10"/>
    <x v="9"/>
  </r>
  <r>
    <x v="4"/>
    <x v="2"/>
    <x v="1"/>
    <x v="1"/>
    <x v="2"/>
    <x v="6"/>
    <x v="1"/>
    <x v="1"/>
    <x v="1"/>
    <x v="2"/>
    <x v="1"/>
    <x v="6"/>
  </r>
  <r>
    <x v="5"/>
    <x v="3"/>
    <x v="0"/>
    <x v="0"/>
    <x v="0"/>
    <x v="8"/>
    <x v="13"/>
    <x v="13"/>
    <x v="0"/>
    <x v="0"/>
    <x v="12"/>
    <x v="4"/>
  </r>
  <r>
    <x v="6"/>
    <x v="4"/>
    <x v="2"/>
    <x v="2"/>
    <x v="1"/>
    <x v="3"/>
    <x v="2"/>
    <x v="2"/>
    <x v="3"/>
    <x v="0"/>
    <x v="3"/>
    <x v="7"/>
  </r>
  <r>
    <x v="7"/>
    <x v="5"/>
    <x v="1"/>
    <x v="1"/>
    <x v="1"/>
    <x v="9"/>
    <x v="6"/>
    <x v="6"/>
    <x v="2"/>
    <x v="1"/>
    <x v="5"/>
    <x v="0"/>
  </r>
  <r>
    <x v="8"/>
    <x v="6"/>
    <x v="0"/>
    <x v="0"/>
    <x v="2"/>
    <x v="6"/>
    <x v="11"/>
    <x v="11"/>
    <x v="0"/>
    <x v="2"/>
    <x v="10"/>
    <x v="3"/>
  </r>
  <r>
    <x v="9"/>
    <x v="7"/>
    <x v="2"/>
    <x v="1"/>
    <x v="2"/>
    <x v="2"/>
    <x v="0"/>
    <x v="0"/>
    <x v="1"/>
    <x v="0"/>
    <x v="0"/>
    <x v="9"/>
  </r>
  <r>
    <x v="10"/>
    <x v="8"/>
    <x v="1"/>
    <x v="0"/>
    <x v="1"/>
    <x v="0"/>
    <x v="4"/>
    <x v="3"/>
    <x v="3"/>
    <x v="2"/>
    <x v="3"/>
    <x v="2"/>
  </r>
  <r>
    <x v="11"/>
    <x v="9"/>
    <x v="0"/>
    <x v="2"/>
    <x v="0"/>
    <x v="12"/>
    <x v="12"/>
    <x v="12"/>
    <x v="2"/>
    <x v="0"/>
    <x v="11"/>
    <x v="5"/>
  </r>
  <r>
    <x v="12"/>
    <x v="10"/>
    <x v="2"/>
    <x v="2"/>
    <x v="2"/>
    <x v="5"/>
    <x v="5"/>
    <x v="4"/>
    <x v="0"/>
    <x v="1"/>
    <x v="4"/>
    <x v="9"/>
  </r>
  <r>
    <x v="13"/>
    <x v="11"/>
    <x v="1"/>
    <x v="0"/>
    <x v="1"/>
    <x v="3"/>
    <x v="8"/>
    <x v="8"/>
    <x v="1"/>
    <x v="2"/>
    <x v="8"/>
    <x v="3"/>
  </r>
  <r>
    <x v="14"/>
    <x v="12"/>
    <x v="0"/>
    <x v="1"/>
    <x v="0"/>
    <x v="10"/>
    <x v="7"/>
    <x v="7"/>
    <x v="3"/>
    <x v="0"/>
    <x v="6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K8" firstHeaderRow="1" firstDataRow="3" firstDataCol="1"/>
  <pivotFields count="12"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h="1" x="1"/>
        <item x="2"/>
      </items>
    </pivotField>
    <pivotField compact="0" showAll="0"/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outline="0" showAll="0"/>
  </pivotFields>
  <rowFields count="1">
    <field x="4"/>
  </rowFields>
  <rowItems count="3">
    <i>
      <x/>
    </i>
    <i>
      <x v="2"/>
    </i>
    <i t="grand">
      <x/>
    </i>
  </rowItems>
  <colFields count="2">
    <field x="8"/>
    <field x="-2"/>
  </colFields>
  <colItems count="10">
    <i>
      <x/>
    </i>
    <i r="1"/>
    <i>
      <x v="1"/>
    </i>
    <i r="1"/>
    <i>
      <x v="2"/>
    </i>
    <i r="1"/>
    <i>
      <x v="3"/>
    </i>
    <i r="1"/>
    <i t="default">
      <x/>
    </i>
    <i t="default">
      <x/>
    </i>
  </colItems>
  <dataFields count="2">
    <dataField name="Average - Profit margin%" fld="11" subtotal="average" numFmtId="166"/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B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1"/>
    <col collapsed="false" customWidth="true" hidden="false" outlineLevel="0" max="2" min="2" style="0" width="11.75"/>
    <col collapsed="false" customWidth="true" hidden="false" outlineLevel="0" max="3" min="3" style="0" width="15.12"/>
    <col collapsed="false" customWidth="true" hidden="false" outlineLevel="0" max="4" min="4" style="0" width="16.84"/>
    <col collapsed="false" customWidth="true" hidden="false" outlineLevel="0" max="6" min="6" style="0" width="8.2"/>
    <col collapsed="false" customWidth="true" hidden="false" outlineLevel="0" max="7" min="7" style="0" width="10.39"/>
    <col collapsed="false" customWidth="true" hidden="false" outlineLevel="0" max="8" min="8" style="0" width="13.21"/>
    <col collapsed="false" customWidth="true" hidden="false" outlineLevel="0" max="9" min="9" style="0" width="8.84"/>
    <col collapsed="false" customWidth="true" hidden="false" outlineLevel="0" max="10" min="10" style="0" width="20.49"/>
    <col collapsed="false" customWidth="true" hidden="false" outlineLevel="0" max="11" min="11" style="0" width="13.39"/>
    <col collapsed="false" customWidth="true" hidden="false" outlineLevel="0" max="12" min="12" style="0" width="15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3" t="n">
        <v>46296</v>
      </c>
      <c r="C2" s="1" t="s">
        <v>13</v>
      </c>
      <c r="D2" s="1" t="s">
        <v>14</v>
      </c>
      <c r="E2" s="1" t="s">
        <v>15</v>
      </c>
      <c r="F2" s="1" t="n">
        <v>5</v>
      </c>
      <c r="G2" s="1" t="n">
        <v>125000</v>
      </c>
      <c r="H2" s="1" t="n">
        <v>85000</v>
      </c>
      <c r="I2" s="1" t="s">
        <v>16</v>
      </c>
      <c r="J2" s="1" t="s">
        <v>17</v>
      </c>
      <c r="K2" s="4" t="n">
        <f aca="false">G2-H2</f>
        <v>40000</v>
      </c>
      <c r="L2" s="5" t="n">
        <f aca="false">K2/G2*100%</f>
        <v>0.32</v>
      </c>
    </row>
    <row r="3" customFormat="false" ht="12.8" hidden="false" customHeight="false" outlineLevel="0" collapsed="false">
      <c r="A3" s="1" t="s">
        <v>18</v>
      </c>
      <c r="B3" s="3" t="n">
        <v>46296</v>
      </c>
      <c r="C3" s="1" t="s">
        <v>19</v>
      </c>
      <c r="D3" s="1" t="s">
        <v>20</v>
      </c>
      <c r="E3" s="1" t="s">
        <v>21</v>
      </c>
      <c r="F3" s="1" t="n">
        <v>12</v>
      </c>
      <c r="G3" s="1" t="n">
        <v>24000</v>
      </c>
      <c r="H3" s="1" t="n">
        <v>18000</v>
      </c>
      <c r="I3" s="1" t="s">
        <v>22</v>
      </c>
      <c r="J3" s="1" t="s">
        <v>23</v>
      </c>
      <c r="K3" s="4" t="n">
        <f aca="false">G3-H3</f>
        <v>6000</v>
      </c>
      <c r="L3" s="5" t="n">
        <f aca="false">K3/G3*100%</f>
        <v>0.25</v>
      </c>
    </row>
    <row r="4" customFormat="false" ht="12.8" hidden="false" customHeight="false" outlineLevel="0" collapsed="false">
      <c r="A4" s="1" t="s">
        <v>24</v>
      </c>
      <c r="B4" s="3" t="n">
        <v>46297</v>
      </c>
      <c r="C4" s="1" t="s">
        <v>13</v>
      </c>
      <c r="D4" s="1" t="s">
        <v>14</v>
      </c>
      <c r="E4" s="1" t="s">
        <v>15</v>
      </c>
      <c r="F4" s="1" t="n">
        <v>2</v>
      </c>
      <c r="G4" s="1" t="n">
        <v>50000</v>
      </c>
      <c r="H4" s="1" t="n">
        <v>34000</v>
      </c>
      <c r="I4" s="1" t="s">
        <v>16</v>
      </c>
      <c r="J4" s="1" t="s">
        <v>17</v>
      </c>
      <c r="K4" s="4" t="n">
        <f aca="false">G4-H4</f>
        <v>16000</v>
      </c>
      <c r="L4" s="5" t="n">
        <f aca="false">K4/G4*100%</f>
        <v>0.32</v>
      </c>
    </row>
    <row r="5" customFormat="false" ht="12.8" hidden="false" customHeight="false" outlineLevel="0" collapsed="false">
      <c r="A5" s="1" t="s">
        <v>25</v>
      </c>
      <c r="B5" s="3" t="n">
        <v>46297</v>
      </c>
      <c r="C5" s="1" t="s">
        <v>26</v>
      </c>
      <c r="D5" s="1" t="s">
        <v>27</v>
      </c>
      <c r="E5" s="1" t="s">
        <v>28</v>
      </c>
      <c r="F5" s="1" t="n">
        <v>40</v>
      </c>
      <c r="G5" s="1" t="n">
        <v>180000</v>
      </c>
      <c r="H5" s="1" t="n">
        <v>120000</v>
      </c>
      <c r="I5" s="1" t="s">
        <v>29</v>
      </c>
      <c r="J5" s="1" t="s">
        <v>30</v>
      </c>
      <c r="K5" s="4" t="n">
        <f aca="false">G5-H5</f>
        <v>60000</v>
      </c>
      <c r="L5" s="5" t="n">
        <f aca="false">K5/G5*100%</f>
        <v>0.333333333333333</v>
      </c>
    </row>
    <row r="6" customFormat="false" ht="12.8" hidden="false" customHeight="false" outlineLevel="0" collapsed="false">
      <c r="A6" s="1" t="s">
        <v>31</v>
      </c>
      <c r="B6" s="3" t="n">
        <v>46298</v>
      </c>
      <c r="C6" s="1" t="s">
        <v>19</v>
      </c>
      <c r="D6" s="1" t="s">
        <v>20</v>
      </c>
      <c r="E6" s="1" t="s">
        <v>15</v>
      </c>
      <c r="F6" s="1" t="n">
        <v>8</v>
      </c>
      <c r="G6" s="1" t="n">
        <v>16000</v>
      </c>
      <c r="H6" s="1" t="n">
        <v>11000</v>
      </c>
      <c r="I6" s="1" t="s">
        <v>16</v>
      </c>
      <c r="J6" s="1" t="s">
        <v>23</v>
      </c>
      <c r="K6" s="4" t="n">
        <f aca="false">G6-H6</f>
        <v>5000</v>
      </c>
      <c r="L6" s="5" t="n">
        <f aca="false">K6/G6*100%</f>
        <v>0.3125</v>
      </c>
    </row>
    <row r="7" customFormat="false" ht="12.8" hidden="false" customHeight="false" outlineLevel="0" collapsed="false">
      <c r="A7" s="1" t="s">
        <v>32</v>
      </c>
      <c r="B7" s="3" t="n">
        <v>46299</v>
      </c>
      <c r="C7" s="1" t="s">
        <v>26</v>
      </c>
      <c r="D7" s="1" t="s">
        <v>14</v>
      </c>
      <c r="E7" s="1" t="s">
        <v>28</v>
      </c>
      <c r="F7" s="1" t="n">
        <v>15</v>
      </c>
      <c r="G7" s="1" t="n">
        <v>375000</v>
      </c>
      <c r="H7" s="1" t="n">
        <v>260000</v>
      </c>
      <c r="I7" s="1" t="s">
        <v>33</v>
      </c>
      <c r="J7" s="1" t="s">
        <v>17</v>
      </c>
      <c r="K7" s="4" t="n">
        <f aca="false">G7-H7</f>
        <v>115000</v>
      </c>
      <c r="L7" s="5" t="n">
        <f aca="false">K7/G7*100%</f>
        <v>0.306666666666667</v>
      </c>
    </row>
    <row r="8" customFormat="false" ht="12.8" hidden="false" customHeight="false" outlineLevel="0" collapsed="false">
      <c r="A8" s="1" t="s">
        <v>34</v>
      </c>
      <c r="B8" s="3" t="n">
        <v>46300</v>
      </c>
      <c r="C8" s="1" t="s">
        <v>13</v>
      </c>
      <c r="D8" s="1" t="s">
        <v>27</v>
      </c>
      <c r="E8" s="1" t="s">
        <v>21</v>
      </c>
      <c r="F8" s="1" t="n">
        <v>4</v>
      </c>
      <c r="G8" s="1" t="n">
        <v>22000</v>
      </c>
      <c r="H8" s="1" t="n">
        <v>15000</v>
      </c>
      <c r="I8" s="1" t="s">
        <v>22</v>
      </c>
      <c r="J8" s="1" t="s">
        <v>17</v>
      </c>
      <c r="K8" s="4" t="n">
        <f aca="false">G8-H8</f>
        <v>7000</v>
      </c>
      <c r="L8" s="5" t="n">
        <f aca="false">K8/G8*100%</f>
        <v>0.318181818181818</v>
      </c>
    </row>
    <row r="9" customFormat="false" ht="12.8" hidden="false" customHeight="false" outlineLevel="0" collapsed="false">
      <c r="A9" s="1" t="s">
        <v>35</v>
      </c>
      <c r="B9" s="3" t="n">
        <v>46301</v>
      </c>
      <c r="C9" s="1" t="s">
        <v>19</v>
      </c>
      <c r="D9" s="1" t="s">
        <v>20</v>
      </c>
      <c r="E9" s="1" t="s">
        <v>21</v>
      </c>
      <c r="F9" s="1" t="n">
        <v>25</v>
      </c>
      <c r="G9" s="1" t="n">
        <v>50000</v>
      </c>
      <c r="H9" s="1" t="n">
        <v>38000</v>
      </c>
      <c r="I9" s="1" t="s">
        <v>29</v>
      </c>
      <c r="J9" s="1" t="s">
        <v>30</v>
      </c>
      <c r="K9" s="4" t="n">
        <f aca="false">G9-H9</f>
        <v>12000</v>
      </c>
      <c r="L9" s="5" t="n">
        <f aca="false">K9/G9*100%</f>
        <v>0.24</v>
      </c>
    </row>
    <row r="10" customFormat="false" ht="12.8" hidden="false" customHeight="false" outlineLevel="0" collapsed="false">
      <c r="A10" s="1" t="s">
        <v>36</v>
      </c>
      <c r="B10" s="3" t="n">
        <v>46302</v>
      </c>
      <c r="C10" s="1" t="s">
        <v>26</v>
      </c>
      <c r="D10" s="1" t="s">
        <v>14</v>
      </c>
      <c r="E10" s="1" t="s">
        <v>15</v>
      </c>
      <c r="F10" s="1" t="n">
        <v>8</v>
      </c>
      <c r="G10" s="1" t="n">
        <v>200000</v>
      </c>
      <c r="H10" s="1" t="n">
        <v>140000</v>
      </c>
      <c r="I10" s="1" t="s">
        <v>33</v>
      </c>
      <c r="J10" s="1" t="s">
        <v>23</v>
      </c>
      <c r="K10" s="4" t="n">
        <f aca="false">G10-H10</f>
        <v>60000</v>
      </c>
      <c r="L10" s="5" t="n">
        <f aca="false">K10/G10*100%</f>
        <v>0.3</v>
      </c>
    </row>
    <row r="11" customFormat="false" ht="12.8" hidden="false" customHeight="false" outlineLevel="0" collapsed="false">
      <c r="A11" s="1" t="s">
        <v>37</v>
      </c>
      <c r="B11" s="3" t="n">
        <v>46303</v>
      </c>
      <c r="C11" s="1" t="s">
        <v>13</v>
      </c>
      <c r="D11" s="1" t="s">
        <v>20</v>
      </c>
      <c r="E11" s="1" t="s">
        <v>15</v>
      </c>
      <c r="F11" s="1" t="n">
        <v>3</v>
      </c>
      <c r="G11" s="1" t="n">
        <v>9000</v>
      </c>
      <c r="H11" s="1" t="n">
        <v>6000</v>
      </c>
      <c r="I11" s="1" t="s">
        <v>16</v>
      </c>
      <c r="J11" s="1" t="s">
        <v>17</v>
      </c>
      <c r="K11" s="4" t="n">
        <f aca="false">G11-H11</f>
        <v>3000</v>
      </c>
      <c r="L11" s="5" t="n">
        <f aca="false">K11/G11*100%</f>
        <v>0.333333333333333</v>
      </c>
    </row>
    <row r="12" customFormat="false" ht="12.8" hidden="false" customHeight="false" outlineLevel="0" collapsed="false">
      <c r="A12" s="1" t="s">
        <v>38</v>
      </c>
      <c r="B12" s="3" t="n">
        <v>46304</v>
      </c>
      <c r="C12" s="1" t="s">
        <v>19</v>
      </c>
      <c r="D12" s="1" t="s">
        <v>14</v>
      </c>
      <c r="E12" s="1" t="s">
        <v>21</v>
      </c>
      <c r="F12" s="1" t="n">
        <v>1</v>
      </c>
      <c r="G12" s="1" t="n">
        <v>25000</v>
      </c>
      <c r="H12" s="1" t="n">
        <v>18000</v>
      </c>
      <c r="I12" s="1" t="s">
        <v>22</v>
      </c>
      <c r="J12" s="1" t="s">
        <v>23</v>
      </c>
      <c r="K12" s="4" t="n">
        <f aca="false">G12-H12</f>
        <v>7000</v>
      </c>
      <c r="L12" s="5" t="n">
        <f aca="false">K12/G12*100%</f>
        <v>0.28</v>
      </c>
    </row>
    <row r="13" customFormat="false" ht="12.8" hidden="false" customHeight="false" outlineLevel="0" collapsed="false">
      <c r="A13" s="1" t="s">
        <v>39</v>
      </c>
      <c r="B13" s="3" t="n">
        <v>46305</v>
      </c>
      <c r="C13" s="1" t="s">
        <v>26</v>
      </c>
      <c r="D13" s="1" t="s">
        <v>27</v>
      </c>
      <c r="E13" s="1" t="s">
        <v>28</v>
      </c>
      <c r="F13" s="1" t="n">
        <v>50</v>
      </c>
      <c r="G13" s="1" t="n">
        <v>225000</v>
      </c>
      <c r="H13" s="1" t="n">
        <v>155000</v>
      </c>
      <c r="I13" s="1" t="s">
        <v>29</v>
      </c>
      <c r="J13" s="1" t="s">
        <v>17</v>
      </c>
      <c r="K13" s="4" t="n">
        <f aca="false">G13-H13</f>
        <v>70000</v>
      </c>
      <c r="L13" s="5" t="n">
        <f aca="false">K13/G13*100%</f>
        <v>0.311111111111111</v>
      </c>
    </row>
    <row r="14" customFormat="false" ht="12.8" hidden="false" customHeight="false" outlineLevel="0" collapsed="false">
      <c r="A14" s="1" t="s">
        <v>40</v>
      </c>
      <c r="B14" s="3" t="n">
        <v>46306</v>
      </c>
      <c r="C14" s="1" t="s">
        <v>13</v>
      </c>
      <c r="D14" s="1" t="s">
        <v>27</v>
      </c>
      <c r="E14" s="1" t="s">
        <v>15</v>
      </c>
      <c r="F14" s="1" t="n">
        <v>6</v>
      </c>
      <c r="G14" s="1" t="n">
        <v>33000</v>
      </c>
      <c r="H14" s="1" t="n">
        <v>22000</v>
      </c>
      <c r="I14" s="1" t="s">
        <v>33</v>
      </c>
      <c r="J14" s="1" t="s">
        <v>30</v>
      </c>
      <c r="K14" s="4" t="n">
        <f aca="false">G14-H14</f>
        <v>11000</v>
      </c>
      <c r="L14" s="5" t="n">
        <f aca="false">K14/G14*100%</f>
        <v>0.333333333333333</v>
      </c>
    </row>
    <row r="15" customFormat="false" ht="12.8" hidden="false" customHeight="false" outlineLevel="0" collapsed="false">
      <c r="A15" s="1" t="s">
        <v>41</v>
      </c>
      <c r="B15" s="3" t="n">
        <v>46307</v>
      </c>
      <c r="C15" s="1" t="s">
        <v>19</v>
      </c>
      <c r="D15" s="1" t="s">
        <v>14</v>
      </c>
      <c r="E15" s="1" t="s">
        <v>21</v>
      </c>
      <c r="F15" s="1" t="n">
        <v>4</v>
      </c>
      <c r="G15" s="1" t="n">
        <v>100000</v>
      </c>
      <c r="H15" s="1" t="n">
        <v>70000</v>
      </c>
      <c r="I15" s="1" t="s">
        <v>16</v>
      </c>
      <c r="J15" s="1" t="s">
        <v>23</v>
      </c>
      <c r="K15" s="4" t="n">
        <f aca="false">G15-H15</f>
        <v>30000</v>
      </c>
      <c r="L15" s="5" t="n">
        <f aca="false">K15/G15*100%</f>
        <v>0.3</v>
      </c>
    </row>
    <row r="16" customFormat="false" ht="12.8" hidden="false" customHeight="false" outlineLevel="0" collapsed="false">
      <c r="A16" s="1" t="s">
        <v>42</v>
      </c>
      <c r="B16" s="3" t="n">
        <v>46308</v>
      </c>
      <c r="C16" s="1" t="s">
        <v>26</v>
      </c>
      <c r="D16" s="1" t="s">
        <v>20</v>
      </c>
      <c r="E16" s="1" t="s">
        <v>28</v>
      </c>
      <c r="F16" s="1" t="n">
        <v>30</v>
      </c>
      <c r="G16" s="1" t="n">
        <v>60000</v>
      </c>
      <c r="H16" s="1" t="n">
        <v>45000</v>
      </c>
      <c r="I16" s="1" t="s">
        <v>22</v>
      </c>
      <c r="J16" s="1" t="s">
        <v>17</v>
      </c>
      <c r="K16" s="4" t="n">
        <f aca="false">G16-H16</f>
        <v>15000</v>
      </c>
      <c r="L16" s="5" t="n">
        <f aca="false">K16/G16*100%</f>
        <v>0.25</v>
      </c>
    </row>
  </sheetData>
  <autoFilter ref="A1:L1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9" activeCellId="0" sqref="G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.85"/>
    <col collapsed="false" customWidth="true" hidden="false" outlineLevel="0" max="4" min="3" style="0" width="14.03"/>
    <col collapsed="false" customWidth="true" hidden="false" outlineLevel="0" max="5" min="5" style="0" width="28.22"/>
    <col collapsed="false" customWidth="true" hidden="false" outlineLevel="0" max="7" min="7" style="0" width="19.4"/>
    <col collapsed="false" customWidth="true" hidden="false" outlineLevel="0" max="11" min="11" style="0" width="19.63"/>
    <col collapsed="false" customWidth="true" hidden="false" outlineLevel="0" max="16" min="16" style="0" width="19.63"/>
  </cols>
  <sheetData>
    <row r="3" customFormat="false" ht="12.8" hidden="false" customHeight="false" outlineLevel="0" collapsed="false">
      <c r="A3" s="6"/>
      <c r="B3" s="7" t="s">
        <v>8</v>
      </c>
      <c r="C3" s="7" t="s">
        <v>43</v>
      </c>
      <c r="D3" s="8"/>
      <c r="E3" s="8"/>
      <c r="F3" s="8"/>
      <c r="G3" s="8"/>
      <c r="H3" s="8"/>
      <c r="I3" s="8"/>
      <c r="J3" s="8"/>
      <c r="K3" s="9"/>
    </row>
    <row r="4" customFormat="false" ht="12.8" hidden="false" customHeight="false" outlineLevel="0" collapsed="false">
      <c r="A4" s="10"/>
      <c r="B4" s="11" t="s">
        <v>33</v>
      </c>
      <c r="C4" s="12"/>
      <c r="D4" s="11" t="s">
        <v>16</v>
      </c>
      <c r="E4" s="12"/>
      <c r="F4" s="11" t="s">
        <v>29</v>
      </c>
      <c r="G4" s="12"/>
      <c r="H4" s="11" t="s">
        <v>22</v>
      </c>
      <c r="I4" s="12"/>
      <c r="J4" s="13" t="s">
        <v>44</v>
      </c>
      <c r="K4" s="14" t="s">
        <v>45</v>
      </c>
    </row>
    <row r="5" customFormat="false" ht="12.8" hidden="false" customHeight="false" outlineLevel="0" collapsed="false">
      <c r="A5" s="15" t="s">
        <v>4</v>
      </c>
      <c r="B5" s="11" t="s">
        <v>46</v>
      </c>
      <c r="C5" s="12" t="s">
        <v>47</v>
      </c>
      <c r="D5" s="11" t="s">
        <v>46</v>
      </c>
      <c r="E5" s="12" t="s">
        <v>47</v>
      </c>
      <c r="F5" s="11" t="s">
        <v>46</v>
      </c>
      <c r="G5" s="12" t="s">
        <v>47</v>
      </c>
      <c r="H5" s="11" t="s">
        <v>46</v>
      </c>
      <c r="I5" s="12" t="s">
        <v>47</v>
      </c>
      <c r="J5" s="16"/>
      <c r="K5" s="17"/>
    </row>
    <row r="6" customFormat="false" ht="12.8" hidden="false" customHeight="false" outlineLevel="0" collapsed="false">
      <c r="A6" s="18" t="s">
        <v>28</v>
      </c>
      <c r="B6" s="19" t="n">
        <v>0.306666666666667</v>
      </c>
      <c r="C6" s="20" t="n">
        <v>375000</v>
      </c>
      <c r="D6" s="21"/>
      <c r="E6" s="21"/>
      <c r="F6" s="19" t="n">
        <v>0.322222222222222</v>
      </c>
      <c r="G6" s="20" t="n">
        <v>405000</v>
      </c>
      <c r="H6" s="22" t="n">
        <v>0.25</v>
      </c>
      <c r="I6" s="23" t="n">
        <v>60000</v>
      </c>
      <c r="J6" s="24" t="n">
        <v>0.300277777777778</v>
      </c>
      <c r="K6" s="25" t="n">
        <v>840000</v>
      </c>
    </row>
    <row r="7" customFormat="false" ht="12.8" hidden="false" customHeight="false" outlineLevel="0" collapsed="false">
      <c r="A7" s="26" t="s">
        <v>15</v>
      </c>
      <c r="B7" s="27" t="n">
        <v>0.316666666666667</v>
      </c>
      <c r="C7" s="28" t="n">
        <v>233000</v>
      </c>
      <c r="D7" s="22" t="n">
        <v>0.321458333333333</v>
      </c>
      <c r="E7" s="23" t="n">
        <v>200000</v>
      </c>
      <c r="F7" s="29"/>
      <c r="G7" s="30"/>
      <c r="H7" s="21"/>
      <c r="I7" s="21"/>
      <c r="J7" s="31" t="n">
        <v>0.319861111111111</v>
      </c>
      <c r="K7" s="32" t="n">
        <v>433000</v>
      </c>
    </row>
    <row r="8" customFormat="false" ht="12.8" hidden="false" customHeight="false" outlineLevel="0" collapsed="false">
      <c r="A8" s="33" t="s">
        <v>48</v>
      </c>
      <c r="B8" s="34" t="n">
        <v>0.313333333333333</v>
      </c>
      <c r="C8" s="35" t="n">
        <v>608000</v>
      </c>
      <c r="D8" s="34" t="n">
        <v>0.321458333333333</v>
      </c>
      <c r="E8" s="35" t="n">
        <v>200000</v>
      </c>
      <c r="F8" s="34" t="n">
        <v>0.322222222222222</v>
      </c>
      <c r="G8" s="35" t="n">
        <v>405000</v>
      </c>
      <c r="H8" s="34" t="n">
        <v>0.25</v>
      </c>
      <c r="I8" s="35" t="n">
        <v>60000</v>
      </c>
      <c r="J8" s="36" t="n">
        <v>0.312027777777778</v>
      </c>
      <c r="K8" s="37" t="n">
        <v>1273000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2026-10-27T19:18:30Z</dcterms:modified>
  <cp:revision>1</cp:revision>
  <dc:subject/>
  <dc:title/>
</cp:coreProperties>
</file>